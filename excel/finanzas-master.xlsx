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aparicio\Dropbox\Cuentas\"/>
    </mc:Choice>
  </mc:AlternateContent>
  <xr:revisionPtr revIDLastSave="0" documentId="13_ncr:1_{319137BD-64B9-4EE4-B38A-01684D6B0BA6}" xr6:coauthVersionLast="47" xr6:coauthVersionMax="47" xr10:uidLastSave="{00000000-0000-0000-0000-000000000000}"/>
  <bookViews>
    <workbookView xWindow="22932" yWindow="-108" windowWidth="23256" windowHeight="12576" activeTab="1" xr2:uid="{00000000-000D-0000-FFFF-FFFF00000000}"/>
  </bookViews>
  <sheets>
    <sheet name="MASTER" sheetId="1" r:id="rId1"/>
    <sheet name="DESPIDO" sheetId="3" r:id="rId2"/>
    <sheet name="LEEME" sheetId="2" r:id="rId3"/>
  </sheets>
  <definedNames>
    <definedName name="_xlnm._FilterDatabase" localSheetId="1" hidden="1">DESPIDO!$A$1:$K$1</definedName>
    <definedName name="_xlnm._FilterDatabase" localSheetId="0" hidden="1">MASTER!$A$1:$K$1</definedName>
  </definedNames>
  <calcPr calcId="191028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3" l="1"/>
  <c r="E43" i="3"/>
  <c r="E41" i="3"/>
  <c r="E40" i="3"/>
  <c r="E39" i="3"/>
  <c r="E37" i="3"/>
  <c r="E36" i="3"/>
  <c r="E35" i="3"/>
  <c r="E34" i="3"/>
  <c r="E32" i="3"/>
  <c r="E31" i="3"/>
  <c r="E29" i="3"/>
  <c r="E28" i="3"/>
  <c r="E27" i="3"/>
  <c r="E26" i="3"/>
  <c r="E25" i="3"/>
  <c r="E24" i="3"/>
  <c r="E23" i="3"/>
  <c r="E22" i="3"/>
  <c r="E21" i="3"/>
  <c r="E19" i="3"/>
  <c r="E18" i="3"/>
  <c r="E16" i="3"/>
  <c r="E15" i="3"/>
  <c r="E14" i="3"/>
  <c r="E13" i="3"/>
  <c r="E11" i="3"/>
  <c r="E10" i="3"/>
  <c r="E52" i="3"/>
  <c r="E51" i="3"/>
  <c r="E50" i="3"/>
  <c r="E49" i="3"/>
  <c r="E48" i="3"/>
  <c r="E6" i="3"/>
  <c r="E5" i="3"/>
  <c r="E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798EF758-3124-4DDF-92FE-CE05E42B20D8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141BA94A-9F78-4241-A00B-C66FC770D789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965C81D4-24AF-449F-A80F-826A6F5E471B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1F794DD1-0D18-4FCA-8901-53D38ADC9A46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A8FC8AFA-8371-46DF-B836-4DA04285B753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4BF20F6B-22F5-444A-8665-CAE583B4210E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1B6A20DC-AA1A-424F-A9A4-6229066F30A8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5B245603-E3F9-40B0-8A23-3C49CC81EA96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CC6432DD-AA45-4574-8425-C48334368BFF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35904E61-A3C0-4E27-941B-2E098C071011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89F6B8A5-D278-4EA6-94C2-295AD6704796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sharedStrings.xml><?xml version="1.0" encoding="utf-8"?>
<sst xmlns="http://schemas.openxmlformats.org/spreadsheetml/2006/main" count="520" uniqueCount="131">
  <si>
    <t>id</t>
  </si>
  <si>
    <t>tipo</t>
  </si>
  <si>
    <t>grupo</t>
  </si>
  <si>
    <t>concepto</t>
  </si>
  <si>
    <t>valor_base</t>
  </si>
  <si>
    <t>ano_base</t>
  </si>
  <si>
    <t>frecuencia</t>
  </si>
  <si>
    <t>meses</t>
  </si>
  <si>
    <t>medio</t>
  </si>
  <si>
    <t>activo</t>
  </si>
  <si>
    <t>orden</t>
  </si>
  <si>
    <t>💰 INGRESOS</t>
  </si>
  <si>
    <t>ing_nomina</t>
  </si>
  <si>
    <t>ingreso</t>
  </si>
  <si>
    <t>ingresosFijos</t>
  </si>
  <si>
    <t>Nómina</t>
  </si>
  <si>
    <t>mensual</t>
  </si>
  <si>
    <t>cuenta</t>
  </si>
  <si>
    <t>ing_bonus</t>
  </si>
  <si>
    <t>ingresosBonus</t>
  </si>
  <si>
    <t>Bonus</t>
  </si>
  <si>
    <t>anual</t>
  </si>
  <si>
    <t>1</t>
  </si>
  <si>
    <t>ing_paga_extra</t>
  </si>
  <si>
    <t>Paga Extra</t>
  </si>
  <si>
    <t>3|6|12</t>
  </si>
  <si>
    <t>💸 GASTOS</t>
  </si>
  <si>
    <t>gas_limpieza</t>
  </si>
  <si>
    <t>gasto</t>
  </si>
  <si>
    <t>gastosFijos</t>
  </si>
  <si>
    <t>Limpieza</t>
  </si>
  <si>
    <t>gas_seguro_madrid</t>
  </si>
  <si>
    <t>Seguro Madrid</t>
  </si>
  <si>
    <t>gas_movil</t>
  </si>
  <si>
    <t>Móvil</t>
  </si>
  <si>
    <t>gas_luz</t>
  </si>
  <si>
    <t>Luz</t>
  </si>
  <si>
    <t>gas_agua</t>
  </si>
  <si>
    <t>Agua</t>
  </si>
  <si>
    <t>2|4|6|8|10|12</t>
  </si>
  <si>
    <t>gas_casa_madrid</t>
  </si>
  <si>
    <t>Casa Madrid</t>
  </si>
  <si>
    <t>gas_gym</t>
  </si>
  <si>
    <t>Gym</t>
  </si>
  <si>
    <t>tarjeta</t>
  </si>
  <si>
    <t>gas_padel</t>
  </si>
  <si>
    <t>Pádel</t>
  </si>
  <si>
    <t>1|2|3|4|5|6|7|9|10|11|12</t>
  </si>
  <si>
    <t>gas_cloud_anual</t>
  </si>
  <si>
    <t>Cloud</t>
  </si>
  <si>
    <t>5</t>
  </si>
  <si>
    <t>gas_cloud_mensual</t>
  </si>
  <si>
    <t>gas_spotify</t>
  </si>
  <si>
    <t>Spotify</t>
  </si>
  <si>
    <t>gas_youtube</t>
  </si>
  <si>
    <t>YouTube</t>
  </si>
  <si>
    <t>8</t>
  </si>
  <si>
    <t>gas_tele</t>
  </si>
  <si>
    <t>Tele</t>
  </si>
  <si>
    <t>1|4|7|10</t>
  </si>
  <si>
    <t>gas_loteria</t>
  </si>
  <si>
    <t>Lotería</t>
  </si>
  <si>
    <t>11</t>
  </si>
  <si>
    <t>gas_seguro_coche</t>
  </si>
  <si>
    <t>Seguro Coche</t>
  </si>
  <si>
    <t>gas_revision_coche</t>
  </si>
  <si>
    <t>Revisión Coche</t>
  </si>
  <si>
    <t>9</t>
  </si>
  <si>
    <t>gas_numerito_coche</t>
  </si>
  <si>
    <t>Numerito Coche</t>
  </si>
  <si>
    <t>gas_comida</t>
  </si>
  <si>
    <t>Comida</t>
  </si>
  <si>
    <t>gas_salir</t>
  </si>
  <si>
    <t>Salir</t>
  </si>
  <si>
    <t>gas_otros</t>
  </si>
  <si>
    <t>Otros</t>
  </si>
  <si>
    <t>gas_farmacia</t>
  </si>
  <si>
    <t>Farmacia</t>
  </si>
  <si>
    <t>gas_trabajo</t>
  </si>
  <si>
    <t>Trabajo</t>
  </si>
  <si>
    <t>gas_gasolina</t>
  </si>
  <si>
    <t>Gasolina</t>
  </si>
  <si>
    <t>gas_peluqueria</t>
  </si>
  <si>
    <t>Peluquería</t>
  </si>
  <si>
    <t>gas_cumple_ninos</t>
  </si>
  <si>
    <t>Cumple Niños</t>
  </si>
  <si>
    <t>2|3|9|11</t>
  </si>
  <si>
    <t>gas_regalo_navidad_ninos</t>
  </si>
  <si>
    <t>Regalo Navidad Niños</t>
  </si>
  <si>
    <t>🏖️ VACACIONES</t>
  </si>
  <si>
    <t>vac_esqui</t>
  </si>
  <si>
    <t>gastosVacaciones</t>
  </si>
  <si>
    <t>Esquí</t>
  </si>
  <si>
    <t>2</t>
  </si>
  <si>
    <t>vac_semana_santa</t>
  </si>
  <si>
    <t>Semana Santa</t>
  </si>
  <si>
    <t>4</t>
  </si>
  <si>
    <t>vac_verano_1</t>
  </si>
  <si>
    <t>Verano 1</t>
  </si>
  <si>
    <t>7</t>
  </si>
  <si>
    <t>vac_verano_2</t>
  </si>
  <si>
    <t>Verano 2</t>
  </si>
  <si>
    <t>vac_fin_ano</t>
  </si>
  <si>
    <t>Fin Año</t>
  </si>
  <si>
    <t>1|12</t>
  </si>
  <si>
    <t>FinanzasJaviAp · Master de planificación</t>
  </si>
  <si>
    <t>Qué editas</t>
  </si>
  <si>
    <t>La hoja MASTER contiene únicamente la planificación estructural: ingresos fijos, bonus, gastos fijos y vacaciones.</t>
  </si>
  <si>
    <t>Cómo añadir</t>
  </si>
  <si>
    <t>Inserta una nueva fila en el bloque que quieras y rellena las mismas 11 columnas. Puedes añadir tantas partidas como necesites.</t>
  </si>
  <si>
    <t>ID</t>
  </si>
  <si>
    <t>Debe ser único y estable. Una vez creado, no lo cambies. El concepto visible sí puedes renombrarlo.</t>
  </si>
  <si>
    <t>Importe</t>
  </si>
  <si>
    <t>Escribe un número normal. Excel lo mostrará en euros automáticamente y la app leerá el valor numérico.</t>
  </si>
  <si>
    <t>Anuales</t>
  </si>
  <si>
    <t>En meses utiliza números 1–12 separados por |. Ejemplo: 1|3|6|12.</t>
  </si>
  <si>
    <t>Desactivar</t>
  </si>
  <si>
    <t>Pon activo = 0 si quieres retirar una partida sin borrar la fila. La fila quedará visualmente apagada.</t>
  </si>
  <si>
    <t>Separadores</t>
  </si>
  <si>
    <t>Puedes mantener las filas INGRESOS / GASTOS / VACACIONES y filas vacías: la aplicación las ignora.</t>
  </si>
  <si>
    <t>Guardar</t>
  </si>
  <si>
    <t>Mantén el nombre finanzas-master.xlsx y súbelo junto a cuentas-personales.html en la misma carpeta del servidor/GitHub.</t>
  </si>
  <si>
    <t>Seguridad</t>
  </si>
  <si>
    <t>Los Extras, Programados, overrides mensuales y meses cerrados no viven en este Excel y no se sustituyen al actualizar el Master.</t>
  </si>
  <si>
    <t>Consejo: para cambios habituales solo tendrás que abrir este Excel, editar la hoja MASTER, guardar y pulsar “Master Excel” en la aplicación.</t>
  </si>
  <si>
    <t>gas_casa_parking</t>
  </si>
  <si>
    <t>Parking</t>
  </si>
  <si>
    <t>gas_gas</t>
  </si>
  <si>
    <t>Gas</t>
  </si>
  <si>
    <t>1|3|5|7|9|11</t>
  </si>
  <si>
    <t>semanal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</si>
</sst>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C0A];[Red]\(#,##0\ [$€-C0A]\);\-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7C3AED"/>
      <name val="Calibri"/>
      <family val="2"/>
    </font>
    <font>
      <sz val="11"/>
      <color rgb="FF111827"/>
      <name val="Calibri"/>
      <family val="2"/>
    </font>
    <font>
      <b/>
      <sz val="11"/>
      <color rgb="FF0F766E"/>
      <name val="Calibri"/>
      <family val="2"/>
    </font>
    <font>
      <b/>
      <sz val="10"/>
      <color rgb="FF0070C0"/>
      <name val="Calibri"/>
      <family val="2"/>
    </font>
    <font>
      <sz val="9"/>
      <color theme="1" tint="0.249977111117893"/>
      <name val="Calibri"/>
      <family val="2"/>
    </font>
    <font>
      <sz val="10"/>
      <color theme="1" tint="0.249977111117893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15803D"/>
      </patternFill>
    </fill>
    <fill>
      <patternFill patternType="solid">
        <fgColor rgb="FFB91C1C"/>
      </patternFill>
    </fill>
    <fill>
      <patternFill patternType="solid">
        <fgColor rgb="FFC2410C"/>
      </patternFill>
    </fill>
    <fill>
      <patternFill patternType="solid">
        <fgColor rgb="FFF8FAFC"/>
      </patternFill>
    </fill>
    <fill>
      <patternFill patternType="solid">
        <fgColor rgb="FFEDE9FE"/>
      </patternFill>
    </fill>
    <fill>
      <patternFill patternType="solid">
        <fgColor rgb="FFFAFAFA"/>
      </patternFill>
    </fill>
    <fill>
      <patternFill patternType="solid">
        <fgColor rgb="FFCCFBF1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/>
    </xf>
    <xf numFmtId="0" fontId="7" fillId="10" borderId="0" xfId="0" applyFont="1" applyFill="1" applyAlignment="1">
      <alignment horizontal="center" vertical="center" wrapText="1"/>
    </xf>
    <xf numFmtId="164" fontId="7" fillId="10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5" fillId="8" borderId="0" xfId="0" applyFont="1" applyFill="1" applyAlignment="1">
      <alignment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9" fillId="6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8" fillId="10" borderId="0" xfId="0" applyFont="1" applyFill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6" fillId="9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strike/>
        <color rgb="FF64748B"/>
      </font>
      <fill>
        <patternFill patternType="solid">
          <fgColor rgb="FFE2E8F0"/>
        </patternFill>
      </fill>
    </dxf>
    <dxf>
      <font>
        <strike/>
        <color rgb="FF64748B"/>
      </font>
      <fill>
        <patternFill patternType="solid">
          <fgColor rgb="FFE2E8F0"/>
        </patternFill>
      </fill>
    </dxf>
  </dxfs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766E"/>
    <pageSetUpPr fitToPage="1"/>
  </sheetPr>
  <dimension ref="A1:K55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.109375" style="2" customWidth="1"/>
    <col min="4" max="4" width="27" style="2" customWidth="1"/>
    <col min="5" max="5" width="14.88671875" style="2" customWidth="1"/>
    <col min="6" max="6" width="11" style="2" customWidth="1"/>
    <col min="7" max="7" width="14" style="2" customWidth="1"/>
    <col min="8" max="8" width="28.33203125" style="2" customWidth="1"/>
    <col min="9" max="9" width="13" style="2" customWidth="1"/>
    <col min="10" max="11" width="10" style="2" customWidth="1"/>
    <col min="12" max="16384" width="8.88671875" style="2"/>
  </cols>
  <sheetData>
    <row r="1" spans="1:1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.95" customHeight="1" x14ac:dyDescent="0.3"/>
    <row r="3" spans="1:11" ht="24" customHeight="1" x14ac:dyDescent="0.3">
      <c r="A3" s="26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</row>
    <row r="4" spans="1:11" ht="22.2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v>2330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1" ht="22.2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7">
        <v>2538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1" ht="22.2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v>1450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1" ht="9" customHeight="1" x14ac:dyDescent="0.3"/>
    <row r="8" spans="1:11" ht="9" customHeight="1" x14ac:dyDescent="0.3"/>
    <row r="9" spans="1:11" ht="24" customHeight="1" x14ac:dyDescent="0.3">
      <c r="A9" s="27" t="s">
        <v>26</v>
      </c>
      <c r="B9" s="27"/>
      <c r="C9" s="27"/>
      <c r="D9" s="27"/>
      <c r="E9" s="27"/>
      <c r="F9" s="27"/>
      <c r="G9" s="27"/>
      <c r="H9" s="27"/>
      <c r="I9" s="27"/>
      <c r="J9" s="27"/>
      <c r="K9" s="27"/>
    </row>
    <row r="10" spans="1:11" ht="22.2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v>1350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1" ht="22.2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7"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1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1" ht="22.2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v>35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1" ht="22.2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7">
        <v>50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1" ht="22.2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v>65</v>
      </c>
      <c r="F15" s="15">
        <v>2026</v>
      </c>
      <c r="G15" s="16" t="s">
        <v>21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1" ht="22.2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7">
        <v>14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2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v>80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2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7">
        <v>34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2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v>50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2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7">
        <v>50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2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v>25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2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7">
        <v>15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2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v>20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2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7">
        <v>50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2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v>30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2" customHeight="1" x14ac:dyDescent="0.3">
      <c r="A28" s="14" t="s">
        <v>51</v>
      </c>
      <c r="B28" s="14" t="s">
        <v>28</v>
      </c>
      <c r="C28" s="14" t="s">
        <v>29</v>
      </c>
      <c r="D28" s="6" t="s">
        <v>49</v>
      </c>
      <c r="E28" s="7">
        <v>1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2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v>120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2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v>55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2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7">
        <v>38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1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1" ht="22.2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v>350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1" ht="22.2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7">
        <v>350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1" ht="22.2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v>100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1" ht="22.2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7">
        <v>70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1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1" ht="22.2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v>42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1" ht="22.2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7">
        <v>15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1" ht="22.2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v>55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1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1" ht="22.2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v>50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1" ht="22.2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7">
        <v>200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1" ht="9" customHeight="1" x14ac:dyDescent="0.3">
      <c r="E45" s="3"/>
    </row>
    <row r="46" spans="1:11" ht="9" customHeight="1" x14ac:dyDescent="0.3"/>
    <row r="47" spans="1:11" ht="24" customHeight="1" x14ac:dyDescent="0.3">
      <c r="A47" s="28" t="s">
        <v>89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</row>
    <row r="48" spans="1:11" ht="22.2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v>800</v>
      </c>
      <c r="F48" s="15">
        <v>2026</v>
      </c>
      <c r="G48" s="16" t="s">
        <v>21</v>
      </c>
      <c r="H48" s="17" t="s">
        <v>93</v>
      </c>
      <c r="I48" s="16" t="s">
        <v>44</v>
      </c>
      <c r="J48" s="15">
        <v>1</v>
      </c>
      <c r="K48" s="15">
        <v>1</v>
      </c>
    </row>
    <row r="49" spans="1:11" ht="22.2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7">
        <v>900</v>
      </c>
      <c r="F49" s="18">
        <v>2026</v>
      </c>
      <c r="G49" s="19" t="s">
        <v>21</v>
      </c>
      <c r="H49" s="20" t="s">
        <v>96</v>
      </c>
      <c r="I49" s="19" t="s">
        <v>44</v>
      </c>
      <c r="J49" s="18">
        <v>1</v>
      </c>
      <c r="K49" s="18">
        <v>2</v>
      </c>
    </row>
    <row r="50" spans="1:11" ht="22.2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v>2000</v>
      </c>
      <c r="F50" s="15">
        <v>2026</v>
      </c>
      <c r="G50" s="16" t="s">
        <v>21</v>
      </c>
      <c r="H50" s="17" t="s">
        <v>99</v>
      </c>
      <c r="I50" s="16" t="s">
        <v>44</v>
      </c>
      <c r="J50" s="15">
        <v>1</v>
      </c>
      <c r="K50" s="15">
        <v>3</v>
      </c>
    </row>
    <row r="51" spans="1:11" ht="22.2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7">
        <v>1400</v>
      </c>
      <c r="F51" s="18">
        <v>2026</v>
      </c>
      <c r="G51" s="19" t="s">
        <v>21</v>
      </c>
      <c r="H51" s="20" t="s">
        <v>67</v>
      </c>
      <c r="I51" s="19" t="s">
        <v>44</v>
      </c>
      <c r="J51" s="18">
        <v>1</v>
      </c>
      <c r="K51" s="18">
        <v>4</v>
      </c>
    </row>
    <row r="52" spans="1:11" ht="22.2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v>400</v>
      </c>
      <c r="F52" s="15">
        <v>2026</v>
      </c>
      <c r="G52" s="16" t="s">
        <v>21</v>
      </c>
      <c r="H52" s="17" t="s">
        <v>104</v>
      </c>
      <c r="I52" s="16" t="s">
        <v>44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</sheetData>
  <mergeCells count="3">
    <mergeCell ref="A3:K3"/>
    <mergeCell ref="A9:K9"/>
    <mergeCell ref="A47:K47"/>
  </mergeCells>
  <conditionalFormatting sqref="A2:K2 A3 A4:K8 A9 A10:K46 A47 A48:K509">
    <cfRule type="expression" dxfId="1" priority="1">
      <formula>AND($A2&lt;&gt;"",$B2&lt;&gt;"",$J2=0)</formula>
    </cfRule>
  </conditionalFormatting>
  <dataValidations count="7">
    <dataValidation type="list" allowBlank="1" sqref="B2 B48:B509 B10:B46 B4:B8" xr:uid="{00000000-0002-0000-0000-000000000000}">
      <formula1>"ingreso,gasto"</formula1>
    </dataValidation>
    <dataValidation type="list" allowBlank="1" sqref="C2 C48:C509 C10:C46 C4:C8" xr:uid="{00000000-0002-0000-0000-000001000000}">
      <formula1>"ingresosFijos,ingresosBonus,gastosFijos,gastosVacaciones"</formula1>
    </dataValidation>
    <dataValidation type="list" allowBlank="1" sqref="G2 G48:G509 G4:G8 G10:G46" xr:uid="{00000000-0002-0000-0000-000002000000}">
      <formula1>"mensual,anual"</formula1>
    </dataValidation>
    <dataValidation type="list" allowBlank="1" sqref="I2 I48:I509 I10:I46 I4:I8" xr:uid="{00000000-0002-0000-0000-000003000000}">
      <formula1>"cuenta,tarjeta"</formula1>
    </dataValidation>
    <dataValidation type="list" allowBlank="1" sqref="J2 J48:J509 J10:J46 J4:J8" xr:uid="{00000000-0002-0000-0000-000004000000}">
      <formula1>"1,0"</formula1>
    </dataValidation>
    <dataValidation type="whole" allowBlank="1" sqref="F2 F48:F509 F10:F46 F4:F8" xr:uid="{00000000-0002-0000-0000-000005000000}">
      <formula1>2024</formula1>
      <formula2>2040</formula2>
    </dataValidation>
    <dataValidation type="whole" allowBlank="1" sqref="K2 K48:K509 K10:K46 K4:K8" xr:uid="{00000000-0002-0000-0000-000006000000}">
      <formula1>1</formula1>
      <formula2>9999</formula2>
    </dataValidation>
  </dataValidations>
  <pageMargins left="0.75" right="0.75" top="1" bottom="1" header="0.5" footer="0.5"/>
  <pageSetup fitToHeight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CD4E4-36BC-4EED-B63A-1048D242A7F2}">
  <sheetPr>
    <tabColor rgb="FF0F766E"/>
    <pageSetUpPr fitToPage="1"/>
  </sheetPr>
  <dimension ref="A1:L59"/>
  <sheetViews>
    <sheetView showGridLines="0" tabSelected="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.109375" style="2" customWidth="1"/>
    <col min="4" max="4" width="27" style="2" customWidth="1"/>
    <col min="5" max="5" width="14.88671875" style="2" customWidth="1"/>
    <col min="6" max="6" width="11" style="2" customWidth="1"/>
    <col min="7" max="7" width="14" style="2" customWidth="1"/>
    <col min="8" max="8" width="28.33203125" style="2" customWidth="1"/>
    <col min="9" max="9" width="13" style="2" customWidth="1"/>
    <col min="10" max="11" width="10" style="2" customWidth="1"/>
    <col min="12" max="16384" width="8.88671875" style="2"/>
  </cols>
  <sheetData>
    <row r="1" spans="1:12" ht="30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5">
        <v>1</v>
      </c>
    </row>
    <row r="2" spans="1:12" ht="4.95" customHeight="1" x14ac:dyDescent="0.3"/>
    <row r="3" spans="1:12" ht="24" customHeight="1" x14ac:dyDescent="0.3">
      <c r="A3" s="26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</row>
    <row r="4" spans="1:12" ht="22.2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f>MASTER!E4-MASTER!E4*$L$1</f>
        <v>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2" ht="22.2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5">
        <f>MASTER!E5-MASTER!E5*$L$1</f>
        <v>0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2" ht="22.2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f>MASTER!E6-MASTER!E6*$L$1</f>
        <v>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2" ht="9" customHeight="1" x14ac:dyDescent="0.3"/>
    <row r="8" spans="1:12" ht="9" customHeight="1" x14ac:dyDescent="0.3"/>
    <row r="9" spans="1:12" ht="24" customHeight="1" x14ac:dyDescent="0.3">
      <c r="A9" s="27" t="s">
        <v>26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5">
        <v>0.4</v>
      </c>
    </row>
    <row r="10" spans="1:12" ht="22.2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f>MASTER!E10-MASTER!E10*$L$9</f>
        <v>810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2" ht="22.2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5">
        <f>MASTER!E11-MASTER!E11*$L$9</f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2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2" ht="22.2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f>MASTER!E13-MASTER!E13*$L$9</f>
        <v>21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2" ht="22.2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5">
        <f>MASTER!E14-MASTER!E14*$L$9</f>
        <v>30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2" ht="22.2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f>MASTER!E15-MASTER!E15*$L$9</f>
        <v>39</v>
      </c>
      <c r="F15" s="15">
        <v>2026</v>
      </c>
      <c r="G15" s="16" t="s">
        <v>21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2" ht="22.2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5">
        <f>MASTER!E16-MASTER!E16*$L$9</f>
        <v>8.3999999999999986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2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f>MASTER!E18-MASTER!E18*$L$9</f>
        <v>48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2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5">
        <f>MASTER!E19-MASTER!E19*$L$9</f>
        <v>20.399999999999999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2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f>MASTER!E21-MASTER!E21*$L$9</f>
        <v>30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2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5">
        <f>MASTER!E22-MASTER!E22*$L$9</f>
        <v>30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2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f>MASTER!E23-MASTER!E23*$L$9</f>
        <v>15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2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5">
        <f>MASTER!E24-MASTER!E24*$L$9</f>
        <v>9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2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f>MASTER!E25-MASTER!E25*$L$9</f>
        <v>12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2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5">
        <f>MASTER!E26-MASTER!E26*$L$9</f>
        <v>30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2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f>MASTER!E27-MASTER!E27*$L$9</f>
        <v>18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2" customHeight="1" x14ac:dyDescent="0.3">
      <c r="A28" s="14" t="s">
        <v>51</v>
      </c>
      <c r="B28" s="14" t="s">
        <v>28</v>
      </c>
      <c r="C28" s="14" t="s">
        <v>29</v>
      </c>
      <c r="D28" s="6" t="s">
        <v>49</v>
      </c>
      <c r="E28" s="5">
        <f>MASTER!E28-MASTER!E28*$L$9</f>
        <v>0.6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2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f>MASTER!E29-MASTER!E29*$L$9</f>
        <v>72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2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f>MASTER!E31-MASTER!E31*$L$9</f>
        <v>33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2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5">
        <f>MASTER!E32-MASTER!E32*$L$9</f>
        <v>22.799999999999997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2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2" ht="22.2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f>MASTER!E34-MASTER!E34*$L$9</f>
        <v>210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2" ht="22.2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5">
        <f>MASTER!E35-MASTER!E35*$L$9</f>
        <v>210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2" ht="22.2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f>MASTER!E36-MASTER!E36*$L$9</f>
        <v>60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2" ht="22.2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5">
        <f>MASTER!E37-MASTER!E37*$L$9</f>
        <v>42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2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2" ht="22.2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f>MASTER!E39-MASTER!E39*$L$9</f>
        <v>25.2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2" ht="22.2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5">
        <f>MASTER!E40-MASTER!E40*$L$9</f>
        <v>9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2" ht="22.2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f>MASTER!E41-MASTER!E41*$L$9</f>
        <v>33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2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2" ht="22.2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f>MASTER!E43-MASTER!E43*$L$9</f>
        <v>30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2" ht="22.2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5">
        <f>MASTER!E44-MASTER!E44*$L$9</f>
        <v>120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2" ht="9" customHeight="1" x14ac:dyDescent="0.3">
      <c r="E45" s="3"/>
    </row>
    <row r="46" spans="1:12" ht="9" customHeight="1" x14ac:dyDescent="0.3"/>
    <row r="47" spans="1:12" ht="24" customHeight="1" x14ac:dyDescent="0.3">
      <c r="A47" s="28" t="s">
        <v>89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5">
        <v>0.5</v>
      </c>
    </row>
    <row r="48" spans="1:12" ht="22.2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f>MASTER!E48-MASTER!E48*$L$47</f>
        <v>400</v>
      </c>
      <c r="F48" s="15">
        <v>2026</v>
      </c>
      <c r="G48" s="16" t="s">
        <v>21</v>
      </c>
      <c r="H48" s="17" t="s">
        <v>93</v>
      </c>
      <c r="I48" s="16" t="s">
        <v>44</v>
      </c>
      <c r="J48" s="15">
        <v>1</v>
      </c>
      <c r="K48" s="15">
        <v>1</v>
      </c>
    </row>
    <row r="49" spans="1:11" ht="22.2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5">
        <f>MASTER!E49-MASTER!E49*$L$47</f>
        <v>450</v>
      </c>
      <c r="F49" s="18">
        <v>2026</v>
      </c>
      <c r="G49" s="19" t="s">
        <v>21</v>
      </c>
      <c r="H49" s="20" t="s">
        <v>96</v>
      </c>
      <c r="I49" s="19" t="s">
        <v>44</v>
      </c>
      <c r="J49" s="18">
        <v>1</v>
      </c>
      <c r="K49" s="18">
        <v>2</v>
      </c>
    </row>
    <row r="50" spans="1:11" ht="22.2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f>MASTER!E50-MASTER!E50*$L$47</f>
        <v>1000</v>
      </c>
      <c r="F50" s="15">
        <v>2026</v>
      </c>
      <c r="G50" s="16" t="s">
        <v>21</v>
      </c>
      <c r="H50" s="17" t="s">
        <v>99</v>
      </c>
      <c r="I50" s="16" t="s">
        <v>44</v>
      </c>
      <c r="J50" s="15">
        <v>1</v>
      </c>
      <c r="K50" s="15">
        <v>3</v>
      </c>
    </row>
    <row r="51" spans="1:11" ht="22.2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5">
        <f>MASTER!E51-MASTER!E51*$L$47</f>
        <v>700</v>
      </c>
      <c r="F51" s="18">
        <v>2026</v>
      </c>
      <c r="G51" s="19" t="s">
        <v>21</v>
      </c>
      <c r="H51" s="20" t="s">
        <v>67</v>
      </c>
      <c r="I51" s="19" t="s">
        <v>44</v>
      </c>
      <c r="J51" s="18">
        <v>1</v>
      </c>
      <c r="K51" s="18">
        <v>4</v>
      </c>
    </row>
    <row r="52" spans="1:11" ht="22.2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f>MASTER!E52-MASTER!E52*$L$47</f>
        <v>200</v>
      </c>
      <c r="F52" s="15">
        <v>2026</v>
      </c>
      <c r="G52" s="16" t="s">
        <v>21</v>
      </c>
      <c r="H52" s="17" t="s">
        <v>104</v>
      </c>
      <c r="I52" s="16" t="s">
        <v>44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  <row r="57" spans="1:11" x14ac:dyDescent="0.3">
      <c r="E57" s="3"/>
    </row>
    <row r="58" spans="1:11" x14ac:dyDescent="0.3">
      <c r="E58" s="3"/>
    </row>
    <row r="59" spans="1:11" x14ac:dyDescent="0.3">
      <c r="E59" s="3"/>
    </row>
  </sheetData>
  <mergeCells count="3">
    <mergeCell ref="A3:K3"/>
    <mergeCell ref="A9:K9"/>
    <mergeCell ref="A47:K47"/>
  </mergeCells>
  <conditionalFormatting sqref="A2:K2 A3 A4:K8 A9 A47 A48:K509 A10:K46">
    <cfRule type="expression" dxfId="0" priority="1">
      <formula>AND($A2&lt;&gt;"",$B2&lt;&gt;"",$J2=0)</formula>
    </cfRule>
  </conditionalFormatting>
  <dataValidations count="7">
    <dataValidation type="whole" allowBlank="1" sqref="K2 K48:K509 K10:K46 K4:K8" xr:uid="{926393A1-09CF-4BE7-9798-F47ADAA4E1D5}">
      <formula1>1</formula1>
      <formula2>9999</formula2>
    </dataValidation>
    <dataValidation type="whole" allowBlank="1" sqref="F2 F48:F509 F10:F46 F4:F8" xr:uid="{E72FB1A6-4985-4CA0-AD42-A4241B28329B}">
      <formula1>2024</formula1>
      <formula2>2040</formula2>
    </dataValidation>
    <dataValidation type="list" allowBlank="1" sqref="J2 J48:J509 J10:J46 J4:J8" xr:uid="{17EC9E6F-6EFE-4B06-8429-69611A9F42E6}">
      <formula1>"1,0"</formula1>
    </dataValidation>
    <dataValidation type="list" allowBlank="1" sqref="I2 I48:I509 I10:I46 I4:I8" xr:uid="{E6D7300F-0A48-452D-8FE1-61A8440FC088}">
      <formula1>"cuenta,tarjeta"</formula1>
    </dataValidation>
    <dataValidation type="list" allowBlank="1" sqref="G2 G48:G509 G4:G8 G10:G46" xr:uid="{CC3390F1-408F-4C0D-BABA-320A2FB95205}">
      <formula1>"mensual,anual"</formula1>
    </dataValidation>
    <dataValidation type="list" allowBlank="1" sqref="C2 C48:C509 C10:C46 C4:C8" xr:uid="{CE6BF424-9759-4BFA-9F32-5CD974047DC9}">
      <formula1>"ingresosFijos,ingresosBonus,gastosFijos,gastosVacaciones"</formula1>
    </dataValidation>
    <dataValidation type="list" allowBlank="1" sqref="B2 B48:B509 B10:B46 B4:B8" xr:uid="{E7136A64-92FF-4587-BFAF-C7B635229771}">
      <formula1>"ingreso,gasto"</formula1>
    </dataValidation>
  </dataValidations>
  <pageMargins left="0.75" right="0.75" top="1" bottom="1" header="0.5" footer="0.5"/>
  <pageSetup fitToHeight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3AED"/>
  </sheetPr>
  <dimension ref="B2:C15"/>
  <sheetViews>
    <sheetView showGridLines="0" workbookViewId="0"/>
  </sheetViews>
  <sheetFormatPr baseColWidth="10" defaultColWidth="8.88671875" defaultRowHeight="14.4" x14ac:dyDescent="0.3"/>
  <cols>
    <col min="1" max="1" width="3" style="11" customWidth="1"/>
    <col min="2" max="2" width="30.88671875" style="11" customWidth="1"/>
    <col min="3" max="3" width="109.88671875" style="11" customWidth="1"/>
    <col min="4" max="16384" width="8.88671875" style="11"/>
  </cols>
  <sheetData>
    <row r="2" spans="2:3" ht="34.200000000000003" customHeight="1" x14ac:dyDescent="0.3">
      <c r="B2" s="29" t="s">
        <v>105</v>
      </c>
      <c r="C2" s="30"/>
    </row>
    <row r="4" spans="2:3" ht="30" customHeight="1" x14ac:dyDescent="0.3">
      <c r="B4" s="10" t="s">
        <v>106</v>
      </c>
      <c r="C4" s="12" t="s">
        <v>107</v>
      </c>
    </row>
    <row r="5" spans="2:3" ht="30" customHeight="1" x14ac:dyDescent="0.3">
      <c r="B5" s="10" t="s">
        <v>108</v>
      </c>
      <c r="C5" s="12" t="s">
        <v>109</v>
      </c>
    </row>
    <row r="6" spans="2:3" ht="30" customHeight="1" x14ac:dyDescent="0.3">
      <c r="B6" s="10" t="s">
        <v>110</v>
      </c>
      <c r="C6" s="12" t="s">
        <v>111</v>
      </c>
    </row>
    <row r="7" spans="2:3" ht="30" customHeight="1" x14ac:dyDescent="0.3">
      <c r="B7" s="10" t="s">
        <v>112</v>
      </c>
      <c r="C7" s="12" t="s">
        <v>113</v>
      </c>
    </row>
    <row r="8" spans="2:3" ht="30" customHeight="1" x14ac:dyDescent="0.3">
      <c r="B8" s="10" t="s">
        <v>114</v>
      </c>
      <c r="C8" s="12" t="s">
        <v>115</v>
      </c>
    </row>
    <row r="9" spans="2:3" ht="30" customHeight="1" x14ac:dyDescent="0.3">
      <c r="B9" s="10" t="s">
        <v>116</v>
      </c>
      <c r="C9" s="12" t="s">
        <v>117</v>
      </c>
    </row>
    <row r="10" spans="2:3" ht="30" customHeight="1" x14ac:dyDescent="0.3">
      <c r="B10" s="10" t="s">
        <v>118</v>
      </c>
      <c r="C10" s="12" t="s">
        <v>119</v>
      </c>
    </row>
    <row r="11" spans="2:3" ht="30" customHeight="1" x14ac:dyDescent="0.3">
      <c r="B11" s="10" t="s">
        <v>120</v>
      </c>
      <c r="C11" s="12" t="s">
        <v>121</v>
      </c>
    </row>
    <row r="12" spans="2:3" ht="30" customHeight="1" x14ac:dyDescent="0.3">
      <c r="B12" s="10" t="s">
        <v>122</v>
      </c>
      <c r="C12" s="12" t="s">
        <v>123</v>
      </c>
    </row>
    <row r="15" spans="2:3" ht="42" customHeight="1" x14ac:dyDescent="0.3">
      <c r="B15" s="31" t="s">
        <v>124</v>
      </c>
      <c r="C15" s="30"/>
    </row>
  </sheetData>
  <mergeCells count="2">
    <mergeCell ref="B2:C2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</vt:lpstr>
      <vt:lpstr>DESPIDO</vt:lpstr>
      <vt:lpstr>LEEME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FinanzasJaviAp Master</dc:title>
  <dc:subject>Planificación maestra de ingresos y gastos</dc:subject>
  <dc:creator>FinanzasJaviAp</dc:creator>
  <dc:description>Fuente maestra editable para el dashboard FinanzasJaviAp.</dc:description>
  <cp:lastModifiedBy>Javier Aparicio Peña</cp:lastModifiedBy>
  <dcterms:created xsi:type="dcterms:W3CDTF">2026-08-10T09:11:45Z</dcterms:created>
  <dcterms:modified xsi:type="dcterms:W3CDTF">2026-08-13T13:20:20Z</dcterms:modified>
</cp:coreProperties>
</file>