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43B95C45-7580-4E0C-89BF-299D49EDD000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MASTER" sheetId="1" r:id="rId1"/>
    <sheet name="DESPIDO" sheetId="3" r:id="rId2"/>
    <sheet name="LEEME" sheetId="2" r:id="rId3"/>
  </sheets>
  <definedNames>
    <definedName name="_xlnm._FilterDatabase" localSheetId="1" hidden="1">DESPIDO!$A$1:$K$1</definedName>
    <definedName name="_xlnm._FilterDatabase" localSheetId="0" hidden="1">MASTER!$A$1:$K$1</definedName>
  </definedNames>
  <calcPr calcId="191028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3" l="1"/>
  <c r="E51" i="3"/>
  <c r="E50" i="3"/>
  <c r="E49" i="3"/>
  <c r="E48" i="3"/>
  <c r="E44" i="3"/>
  <c r="E43" i="3"/>
  <c r="E41" i="3"/>
  <c r="E40" i="3"/>
  <c r="E39" i="3"/>
  <c r="E37" i="3"/>
  <c r="E36" i="3"/>
  <c r="E35" i="3"/>
  <c r="E34" i="3"/>
  <c r="E32" i="3"/>
  <c r="E31" i="3"/>
  <c r="E29" i="3"/>
  <c r="E28" i="3"/>
  <c r="E27" i="3"/>
  <c r="E26" i="3"/>
  <c r="E25" i="3"/>
  <c r="E24" i="3"/>
  <c r="E23" i="3"/>
  <c r="E22" i="3"/>
  <c r="E21" i="3"/>
  <c r="E19" i="3"/>
  <c r="E18" i="3"/>
  <c r="E16" i="3"/>
  <c r="E15" i="3"/>
  <c r="E14" i="3"/>
  <c r="E13" i="3"/>
  <c r="E11" i="3"/>
  <c r="E10" i="3"/>
  <c r="E6" i="3"/>
  <c r="E5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798EF758-3124-4DDF-92FE-CE05E42B20D8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141BA94A-9F78-4241-A00B-C66FC770D789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965C81D4-24AF-449F-A80F-826A6F5E471B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1F794DD1-0D18-4FCA-8901-53D38ADC9A46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A8FC8AFA-8371-46DF-B836-4DA04285B753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4BF20F6B-22F5-444A-8665-CAE583B4210E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1B6A20DC-AA1A-424F-A9A4-6229066F30A8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5B245603-E3F9-40B0-8A23-3C49CC81EA96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CC6432DD-AA45-4574-8425-C48334368BFF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35904E61-A3C0-4E27-941B-2E098C071011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89F6B8A5-D278-4EA6-94C2-295AD6704796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<sst xmlns="http://schemas.openxmlformats.org/spreadsheetml/2006/main" count="520" uniqueCount="131">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</sst>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  <xf numFmtId="9" fontId="0" fillId="0" borderId="0" xfId="0" applyNumberFormat="1" applyAlignment="1">
      <alignment horizontal="center" vertical="center"/>
    </xf>
  </cellXfs>
  <cellStyles count="1">
    <cellStyle name="Normal" xfId="0" builtinId="0"/>
  </cellStyles>
  <dxfs count="2">
    <dxf>
      <font>
        <strike/>
        <color rgb="FF64748B"/>
      </font>
      <fill>
        <patternFill patternType="solid">
          <fgColor rgb="FFE2E8F0"/>
        </patternFill>
      </fill>
    </dxf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95" customHeight="1" x14ac:dyDescent="0.3"/>
    <row r="3" spans="1:11" ht="24" customHeight="1" x14ac:dyDescent="0.3">
      <c r="A3" s="25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6" t="s">
        <v>26</v>
      </c>
      <c r="B9" s="26"/>
      <c r="C9" s="26"/>
      <c r="D9" s="26"/>
      <c r="E9" s="26"/>
      <c r="F9" s="26"/>
      <c r="G9" s="26"/>
      <c r="H9" s="26"/>
      <c r="I9" s="26"/>
      <c r="J9" s="26"/>
      <c r="K9" s="26"/>
    </row>
    <row r="10" spans="1:11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1350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7" t="s">
        <v>89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4:K8 A9 A10:K46 A47 A48:K509">
    <cfRule type="expression" dxfId="1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D4E4-36BC-4EED-B63A-1048D242A7F2}">
  <sheetPr>
    <tabColor rgb="FF0F766E"/>
    <pageSetUpPr fitToPage="1"/>
  </sheetPr>
  <dimension ref="A1:L55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2" ht="30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1">
        <v>0.5</v>
      </c>
    </row>
    <row r="2" spans="1:12" ht="4.95" customHeight="1" x14ac:dyDescent="0.3"/>
    <row r="3" spans="1:12" ht="24" customHeight="1" x14ac:dyDescent="0.3">
      <c r="A3" s="25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2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f>MASTER!E4-MASTER!E4*$L$1</f>
        <v>1165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2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5">
        <f>MASTER!E5-MASTER!E5*$L$1</f>
        <v>1269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2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f>MASTER!E6-MASTER!E6*$L$1</f>
        <v>725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2" ht="9" customHeight="1" x14ac:dyDescent="0.3"/>
    <row r="8" spans="1:12" ht="9" customHeight="1" x14ac:dyDescent="0.3"/>
    <row r="9" spans="1:12" ht="24" customHeight="1" x14ac:dyDescent="0.3">
      <c r="A9" s="26" t="s">
        <v>26</v>
      </c>
      <c r="B9" s="26"/>
      <c r="C9" s="26"/>
      <c r="D9" s="26"/>
      <c r="E9" s="26"/>
      <c r="F9" s="26"/>
      <c r="G9" s="26"/>
      <c r="H9" s="26"/>
      <c r="I9" s="26"/>
      <c r="J9" s="26"/>
      <c r="K9" s="26"/>
    </row>
    <row r="10" spans="1:12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f>MASTER!E10-MASTER!E10*$L$1</f>
        <v>675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2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5">
        <f>MASTER!E11-MASTER!E11*$L$1</f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2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2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f>MASTER!E13-MASTER!E13*$L$1</f>
        <v>17.5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2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5">
        <f>MASTER!E14-MASTER!E14*$L$1</f>
        <v>25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2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f>MASTER!E15-MASTER!E15*$L$1</f>
        <v>32.5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2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5">
        <f>MASTER!E16-MASTER!E16*$L$1</f>
        <v>7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f>MASTER!E18-MASTER!E18*$L$1</f>
        <v>40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5">
        <f>MASTER!E19-MASTER!E19*$L$1</f>
        <v>17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f>MASTER!E21-MASTER!E21*$L$1</f>
        <v>25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5">
        <f>MASTER!E22-MASTER!E22*$L$1</f>
        <v>25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f>MASTER!E23-MASTER!E23*$L$1</f>
        <v>12.5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5">
        <f>MASTER!E24-MASTER!E24*$L$1</f>
        <v>7.5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f>MASTER!E25-MASTER!E25*$L$1</f>
        <v>10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5">
        <f>MASTER!E26-MASTER!E26*$L$1</f>
        <v>25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f>MASTER!E27-MASTER!E27*$L$1</f>
        <v>15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5">
        <f>MASTER!E28-MASTER!E28*$L$1</f>
        <v>0.5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f>MASTER!E29-MASTER!E29*$L$1</f>
        <v>60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f>MASTER!E31-MASTER!E31*$L$1</f>
        <v>27.5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5">
        <f>MASTER!E32-MASTER!E32*$L$1</f>
        <v>19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f>MASTER!E34-MASTER!E34*$L$1</f>
        <v>175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5">
        <f>MASTER!E35-MASTER!E35*$L$1</f>
        <v>175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f>MASTER!E36-MASTER!E36*$L$1</f>
        <v>50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5">
        <f>MASTER!E37-MASTER!E37*$L$1</f>
        <v>35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f>MASTER!E39-MASTER!E39*$L$1</f>
        <v>21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5">
        <f>MASTER!E40-MASTER!E40*$L$1</f>
        <v>7.5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f>MASTER!E41-MASTER!E41*$L$1</f>
        <v>27.5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f>MASTER!E43-MASTER!E43*$L$1</f>
        <v>25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5">
        <f>MASTER!E44-MASTER!E44*$L$1</f>
        <v>100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7" t="s">
        <v>89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f>MASTER!E48-MASTER!E48*$L$1</f>
        <v>400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5">
        <f>MASTER!E49-MASTER!E49*$L$1</f>
        <v>450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f>MASTER!E50-MASTER!E50*$L$1</f>
        <v>1000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5">
        <f>MASTER!E51-MASTER!E51*$L$1</f>
        <v>700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f>MASTER!E52-MASTER!E52*$L$1</f>
        <v>200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9 A47 A4:K8 A10:K46 A48:K509">
    <cfRule type="expression" dxfId="0" priority="1">
      <formula>AND($A2&lt;&gt;"",$B2&lt;&gt;"",$J2=0)</formula>
    </cfRule>
  </conditionalFormatting>
  <dataValidations count="7">
    <dataValidation type="whole" allowBlank="1" sqref="K2 K48:K509 K10:K46 K4:K8" xr:uid="{926393A1-09CF-4BE7-9798-F47ADAA4E1D5}">
      <formula1>1</formula1>
      <formula2>9999</formula2>
    </dataValidation>
    <dataValidation type="whole" allowBlank="1" sqref="F2 F48:F509 F10:F46 F4:F8" xr:uid="{E72FB1A6-4985-4CA0-AD42-A4241B28329B}">
      <formula1>2024</formula1>
      <formula2>2040</formula2>
    </dataValidation>
    <dataValidation type="list" allowBlank="1" sqref="J2 J48:J509 J10:J46 J4:J8" xr:uid="{17EC9E6F-6EFE-4B06-8429-69611A9F42E6}">
      <formula1>"1,0"</formula1>
    </dataValidation>
    <dataValidation type="list" allowBlank="1" sqref="I2 I48:I509 I10:I46 I4:I8" xr:uid="{E6D7300F-0A48-452D-8FE1-61A8440FC088}">
      <formula1>"cuenta,tarjeta"</formula1>
    </dataValidation>
    <dataValidation type="list" allowBlank="1" sqref="G2 G48:G509 G4:G8 G10:G46" xr:uid="{CC3390F1-408F-4C0D-BABA-320A2FB95205}">
      <formula1>"mensual,anual"</formula1>
    </dataValidation>
    <dataValidation type="list" allowBlank="1" sqref="C2 C48:C509 C10:C46 C4:C8" xr:uid="{CE6BF424-9759-4BFA-9F32-5CD974047DC9}">
      <formula1>"ingresosFijos,ingresosBonus,gastosFijos,gastosVacaciones"</formula1>
    </dataValidation>
    <dataValidation type="list" allowBlank="1" sqref="B2 B48:B509 B10:B46 B4:B8" xr:uid="{E7136A64-92FF-4587-BFAF-C7B635229771}">
      <formula1>"ingreso,gasto"</formula1>
    </dataValidation>
  </dataValidations>
  <pageMargins left="0.75" right="0.75" top="1" bottom="1" header="0.5" footer="0.5"/>
  <pageSetup fitToHeight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0.88671875" style="11" customWidth="1"/>
    <col min="3" max="3" width="109.88671875" style="11" customWidth="1"/>
    <col min="4" max="16384" width="8.88671875" style="11"/>
  </cols>
  <sheetData>
    <row r="2" spans="2:3" ht="34.200000000000003" customHeight="1" x14ac:dyDescent="0.3">
      <c r="B2" s="28" t="s">
        <v>105</v>
      </c>
      <c r="C2" s="29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0" t="s">
        <v>124</v>
      </c>
      <c r="C15" s="29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DESPIDO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2026-08-13T11:26:19Z</dcterms:modified>
</cp:coreProperties>
</file>